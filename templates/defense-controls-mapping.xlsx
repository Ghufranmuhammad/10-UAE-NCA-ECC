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A920A4C3-2FDB-9949-9C0F-3DB29DC28D5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efense Controls" sheetId="1" r:id="rId1"/>
    <sheet name="Dashboard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D6" i="2"/>
  <c r="C7" i="2"/>
  <c r="D7" i="2"/>
  <c r="C8" i="2"/>
  <c r="D8" i="2"/>
  <c r="D9" i="2"/>
  <c r="C9" i="2"/>
</calcChain>
</file>

<file path=xl/sharedStrings.xml><?xml version="1.0" encoding="utf-8"?>
<sst xmlns="http://schemas.openxmlformats.org/spreadsheetml/2006/main" count="104" uniqueCount="65">
  <si>
    <t>Control</t>
  </si>
  <si>
    <t>Current Status</t>
  </si>
  <si>
    <t>Owner</t>
  </si>
  <si>
    <t>Evidence</t>
  </si>
  <si>
    <t>Risk</t>
  </si>
  <si>
    <t>Priority</t>
  </si>
  <si>
    <t>Multi-Factor Authentication</t>
  </si>
  <si>
    <t>Complete</t>
  </si>
  <si>
    <t>IT Manager</t>
  </si>
  <si>
    <t>MFA Report</t>
  </si>
  <si>
    <t>Account Compromise</t>
  </si>
  <si>
    <t>High</t>
  </si>
  <si>
    <t>Role-Based Access Control</t>
  </si>
  <si>
    <t>Access Review</t>
  </si>
  <si>
    <t>Unauthorized Access</t>
  </si>
  <si>
    <t>Privileged Access Management</t>
  </si>
  <si>
    <t>In Progress</t>
  </si>
  <si>
    <t>Security Team</t>
  </si>
  <si>
    <t>PAM Reports</t>
  </si>
  <si>
    <t>Privilege Misuse</t>
  </si>
  <si>
    <t>Firewall Management</t>
  </si>
  <si>
    <t>Network Team</t>
  </si>
  <si>
    <t>Firewall Rules</t>
  </si>
  <si>
    <t>External Attacks</t>
  </si>
  <si>
    <t>Network Segmentation</t>
  </si>
  <si>
    <t>Network Diagram</t>
  </si>
  <si>
    <t>Lateral Movement</t>
  </si>
  <si>
    <t>VPN Security</t>
  </si>
  <si>
    <t>VPN Logs</t>
  </si>
  <si>
    <t>Remote Access Risk</t>
  </si>
  <si>
    <t>Endpoint Detection &amp; Response</t>
  </si>
  <si>
    <t>EDR Dashboard</t>
  </si>
  <si>
    <t>Malware</t>
  </si>
  <si>
    <t>Antivirus Protection</t>
  </si>
  <si>
    <t>AV Reports</t>
  </si>
  <si>
    <t>Vulnerability Scanning</t>
  </si>
  <si>
    <t>Scan Reports</t>
  </si>
  <si>
    <t>Exploitation</t>
  </si>
  <si>
    <t>Patch Management</t>
  </si>
  <si>
    <t>Infrastructure Team</t>
  </si>
  <si>
    <t>Patch Reports</t>
  </si>
  <si>
    <t>Unpatched Systems</t>
  </si>
  <si>
    <t>Secure Baselines</t>
  </si>
  <si>
    <t>Baseline Documents</t>
  </si>
  <si>
    <t>Misconfiguration</t>
  </si>
  <si>
    <t>Medium</t>
  </si>
  <si>
    <t>SIEM Monitoring</t>
  </si>
  <si>
    <t>SOC Team</t>
  </si>
  <si>
    <t>SIEM Dashboard</t>
  </si>
  <si>
    <t>Missed Threats</t>
  </si>
  <si>
    <t>Log Retention</t>
  </si>
  <si>
    <t>Log Archive</t>
  </si>
  <si>
    <t>Compliance</t>
  </si>
  <si>
    <t>Email Security Gateway</t>
  </si>
  <si>
    <t>Messaging Team</t>
  </si>
  <si>
    <t>Email Reports</t>
  </si>
  <si>
    <t>Phishing</t>
  </si>
  <si>
    <t>Web Filtering</t>
  </si>
  <si>
    <t>Planned</t>
  </si>
  <si>
    <t>Proxy Reports</t>
  </si>
  <si>
    <t>Malicious Websites</t>
  </si>
  <si>
    <t>Defense Domain - Compliance Status Dashboard</t>
  </si>
  <si>
    <t>Count</t>
  </si>
  <si>
    <t>Percentage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</si>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</sst>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6"/>
      <color rgb="FF1F385C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5C"/>
        <bgColor rgb="FF1F385C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t>Defense Controls Status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Dashboard!C5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Dashboard!$B$6:$B$8</c:f>
              <c:strCache>
                <c:ptCount val="3"/>
                <c:pt idx="0">
                  <c:v>Complete</c:v>
                </c:pt>
                <c:pt idx="1">
                  <c:v>In Progress</c:v>
                </c:pt>
                <c:pt idx="2">
                  <c:v>Planned</c:v>
                </c:pt>
              </c:strCache>
            </c:strRef>
          </c:cat>
          <c:val>
            <c:numRef>
              <c:f>Dashboard!$C$6:$C$8</c:f>
              <c:numCache>
                <c:formatCode>General</c:formatCode>
                <c:ptCount val="3"/>
                <c:pt idx="0">
                  <c:v>11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5A-844B-B806-A71236F92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Current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 of Controls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504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32.95703125" customWidth="1"/>
    <col min="2" max="2" width="18.0234375" customWidth="1"/>
    <col min="3" max="3" width="23" customWidth="1"/>
    <col min="4" max="4" width="22.05859375" customWidth="1"/>
    <col min="5" max="5" width="23" customWidth="1"/>
    <col min="6" max="6" width="18.0234375" customWidth="1"/>
  </cols>
  <sheetData>
    <row r="1" spans="1:6" ht="27.9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20.100000000000001" customHeight="1" x14ac:dyDescent="0.2">
      <c r="A2" s="3" t="s">
        <v>6</v>
      </c>
      <c r="B2" s="4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r="3" spans="1:6" ht="20.100000000000001" customHeight="1" x14ac:dyDescent="0.2">
      <c r="A3" s="5" t="s">
        <v>12</v>
      </c>
      <c r="B3" s="6" t="s">
        <v>7</v>
      </c>
      <c r="C3" s="5" t="s">
        <v>8</v>
      </c>
      <c r="D3" s="5" t="s">
        <v>13</v>
      </c>
      <c r="E3" s="5" t="s">
        <v>14</v>
      </c>
      <c r="F3" s="6" t="s">
        <v>11</v>
      </c>
    </row>
    <row r="4" spans="1:6" ht="20.100000000000001" customHeight="1" x14ac:dyDescent="0.2">
      <c r="A4" s="3" t="s">
        <v>15</v>
      </c>
      <c r="B4" s="4" t="s">
        <v>16</v>
      </c>
      <c r="C4" s="3" t="s">
        <v>17</v>
      </c>
      <c r="D4" s="3" t="s">
        <v>18</v>
      </c>
      <c r="E4" s="3" t="s">
        <v>19</v>
      </c>
      <c r="F4" s="4" t="s">
        <v>11</v>
      </c>
    </row>
    <row r="5" spans="1:6" ht="20.100000000000001" customHeight="1" x14ac:dyDescent="0.2">
      <c r="A5" s="5" t="s">
        <v>20</v>
      </c>
      <c r="B5" s="6" t="s">
        <v>7</v>
      </c>
      <c r="C5" s="5" t="s">
        <v>21</v>
      </c>
      <c r="D5" s="5" t="s">
        <v>22</v>
      </c>
      <c r="E5" s="5" t="s">
        <v>23</v>
      </c>
      <c r="F5" s="6" t="s">
        <v>11</v>
      </c>
    </row>
    <row r="6" spans="1:6" ht="20.100000000000001" customHeight="1" x14ac:dyDescent="0.2">
      <c r="A6" s="3" t="s">
        <v>24</v>
      </c>
      <c r="B6" s="4" t="s">
        <v>16</v>
      </c>
      <c r="C6" s="3" t="s">
        <v>21</v>
      </c>
      <c r="D6" s="3" t="s">
        <v>25</v>
      </c>
      <c r="E6" s="3" t="s">
        <v>26</v>
      </c>
      <c r="F6" s="4" t="s">
        <v>11</v>
      </c>
    </row>
    <row r="7" spans="1:6" ht="20.100000000000001" customHeight="1" x14ac:dyDescent="0.2">
      <c r="A7" s="5" t="s">
        <v>27</v>
      </c>
      <c r="B7" s="6" t="s">
        <v>7</v>
      </c>
      <c r="C7" s="5" t="s">
        <v>21</v>
      </c>
      <c r="D7" s="5" t="s">
        <v>28</v>
      </c>
      <c r="E7" s="5" t="s">
        <v>29</v>
      </c>
      <c r="F7" s="6" t="s">
        <v>11</v>
      </c>
    </row>
    <row r="8" spans="1:6" ht="20.100000000000001" customHeight="1" x14ac:dyDescent="0.2">
      <c r="A8" s="3" t="s">
        <v>30</v>
      </c>
      <c r="B8" s="4" t="s">
        <v>7</v>
      </c>
      <c r="C8" s="3" t="s">
        <v>17</v>
      </c>
      <c r="D8" s="3" t="s">
        <v>31</v>
      </c>
      <c r="E8" s="3" t="s">
        <v>32</v>
      </c>
      <c r="F8" s="4" t="s">
        <v>11</v>
      </c>
    </row>
    <row r="9" spans="1:6" ht="20.100000000000001" customHeight="1" x14ac:dyDescent="0.2">
      <c r="A9" s="5" t="s">
        <v>33</v>
      </c>
      <c r="B9" s="6" t="s">
        <v>7</v>
      </c>
      <c r="C9" s="5" t="s">
        <v>17</v>
      </c>
      <c r="D9" s="5" t="s">
        <v>34</v>
      </c>
      <c r="E9" s="5" t="s">
        <v>32</v>
      </c>
      <c r="F9" s="6" t="s">
        <v>11</v>
      </c>
    </row>
    <row r="10" spans="1:6" ht="20.100000000000001" customHeight="1" x14ac:dyDescent="0.2">
      <c r="A10" s="3" t="s">
        <v>35</v>
      </c>
      <c r="B10" s="4" t="s">
        <v>7</v>
      </c>
      <c r="C10" s="3" t="s">
        <v>17</v>
      </c>
      <c r="D10" s="3" t="s">
        <v>36</v>
      </c>
      <c r="E10" s="3" t="s">
        <v>37</v>
      </c>
      <c r="F10" s="4" t="s">
        <v>11</v>
      </c>
    </row>
    <row r="11" spans="1:6" ht="20.100000000000001" customHeight="1" x14ac:dyDescent="0.2">
      <c r="A11" s="5" t="s">
        <v>38</v>
      </c>
      <c r="B11" s="6" t="s">
        <v>16</v>
      </c>
      <c r="C11" s="5" t="s">
        <v>39</v>
      </c>
      <c r="D11" s="5" t="s">
        <v>40</v>
      </c>
      <c r="E11" s="5" t="s">
        <v>41</v>
      </c>
      <c r="F11" s="6" t="s">
        <v>11</v>
      </c>
    </row>
    <row r="12" spans="1:6" ht="20.100000000000001" customHeight="1" x14ac:dyDescent="0.2">
      <c r="A12" s="3" t="s">
        <v>42</v>
      </c>
      <c r="B12" s="4" t="s">
        <v>7</v>
      </c>
      <c r="C12" s="3" t="s">
        <v>39</v>
      </c>
      <c r="D12" s="3" t="s">
        <v>43</v>
      </c>
      <c r="E12" s="3" t="s">
        <v>44</v>
      </c>
      <c r="F12" s="4" t="s">
        <v>45</v>
      </c>
    </row>
    <row r="13" spans="1:6" ht="20.100000000000001" customHeight="1" x14ac:dyDescent="0.2">
      <c r="A13" s="5" t="s">
        <v>46</v>
      </c>
      <c r="B13" s="6" t="s">
        <v>7</v>
      </c>
      <c r="C13" s="5" t="s">
        <v>47</v>
      </c>
      <c r="D13" s="5" t="s">
        <v>48</v>
      </c>
      <c r="E13" s="5" t="s">
        <v>49</v>
      </c>
      <c r="F13" s="6" t="s">
        <v>11</v>
      </c>
    </row>
    <row r="14" spans="1:6" ht="20.100000000000001" customHeight="1" x14ac:dyDescent="0.2">
      <c r="A14" s="3" t="s">
        <v>50</v>
      </c>
      <c r="B14" s="4" t="s">
        <v>7</v>
      </c>
      <c r="C14" s="3" t="s">
        <v>47</v>
      </c>
      <c r="D14" s="3" t="s">
        <v>51</v>
      </c>
      <c r="E14" s="3" t="s">
        <v>52</v>
      </c>
      <c r="F14" s="4" t="s">
        <v>45</v>
      </c>
    </row>
    <row r="15" spans="1:6" ht="20.100000000000001" customHeight="1" x14ac:dyDescent="0.2">
      <c r="A15" s="5" t="s">
        <v>53</v>
      </c>
      <c r="B15" s="6" t="s">
        <v>7</v>
      </c>
      <c r="C15" s="5" t="s">
        <v>54</v>
      </c>
      <c r="D15" s="5" t="s">
        <v>55</v>
      </c>
      <c r="E15" s="5" t="s">
        <v>56</v>
      </c>
      <c r="F15" s="6" t="s">
        <v>11</v>
      </c>
    </row>
    <row r="16" spans="1:6" ht="20.100000000000001" customHeight="1" x14ac:dyDescent="0.2">
      <c r="A16" s="3" t="s">
        <v>57</v>
      </c>
      <c r="B16" s="4" t="s">
        <v>58</v>
      </c>
      <c r="C16" s="3" t="s">
        <v>21</v>
      </c>
      <c r="D16" s="3" t="s">
        <v>59</v>
      </c>
      <c r="E16" s="3" t="s">
        <v>60</v>
      </c>
      <c r="F16" s="4" t="s">
        <v>45</v>
      </c>
    </row>
  </sheetData>
  <dataValidations count="2">
    <dataValidation type="list" allowBlank="1" sqref="B2:B16" xr:uid="{00000000-0002-0000-0000-000000000000}">
      <formula1>"Complete,In Progress,Planned"</formula1>
    </dataValidation>
    <dataValidation type="list" allowBlank="1" sqref="F2:F16" xr:uid="{00000000-0002-0000-0000-000001000000}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9"/>
  <sheetViews>
    <sheetView workbookViewId="0"/>
  </sheetViews>
  <sheetFormatPr defaultRowHeight="15" x14ac:dyDescent="0.2"/>
  <cols>
    <col min="1" max="1" width="14.9296875" customWidth="1"/>
    <col min="2" max="2" width="48.96484375" customWidth="1"/>
    <col min="3" max="3" width="48.0234375" customWidth="1"/>
    <col min="4" max="4" width="46.00390625" customWidth="1"/>
    <col min="5" max="5" width="14.9296875" customWidth="1"/>
  </cols>
  <sheetData>
    <row r="2" spans="2:5" ht="30" customHeight="1" x14ac:dyDescent="0.2">
      <c r="B2" s="13" t="s">
        <v>61</v>
      </c>
      <c r="C2" s="14"/>
      <c r="D2" s="14"/>
      <c r="E2" s="14"/>
    </row>
    <row r="5" spans="2:5" ht="24" customHeight="1" x14ac:dyDescent="0.2">
      <c r="B5" s="1" t="s">
        <v>1</v>
      </c>
      <c r="C5" s="2" t="s">
        <v>62</v>
      </c>
      <c r="D5" s="2" t="s">
        <v>63</v>
      </c>
    </row>
    <row r="6" spans="2:5" ht="20.100000000000001" customHeight="1" x14ac:dyDescent="0.2">
      <c r="B6" s="7" t="s">
        <v>7</v>
      </c>
      <c r="C6" s="8">
        <f>COUNTIF('Defense Controls'!$B$2:$B$16, B6)</f>
        <v>11</v>
      </c>
      <c r="D6" s="9">
        <f>C6/COUNTA('Defense Controls'!$B$2:$B$16)</f>
        <v>0.73333333333333328</v>
      </c>
    </row>
    <row r="7" spans="2:5" ht="20.100000000000001" customHeight="1" x14ac:dyDescent="0.2">
      <c r="B7" s="7" t="s">
        <v>16</v>
      </c>
      <c r="C7" s="8">
        <f>COUNTIF('Defense Controls'!$B$2:$B$16, B7)</f>
        <v>3</v>
      </c>
      <c r="D7" s="9">
        <f>C7/COUNTA('Defense Controls'!$B$2:$B$16)</f>
        <v>0.2</v>
      </c>
    </row>
    <row r="8" spans="2:5" ht="20.100000000000001" customHeight="1" x14ac:dyDescent="0.2">
      <c r="B8" s="7" t="s">
        <v>58</v>
      </c>
      <c r="C8" s="8">
        <f>COUNTIF('Defense Controls'!$B$2:$B$16, B8)</f>
        <v>1</v>
      </c>
      <c r="D8" s="9">
        <f>C8/COUNTA('Defense Controls'!$B$2:$B$16)</f>
        <v>6.6666666666666666E-2</v>
      </c>
    </row>
    <row r="9" spans="2:5" ht="21.95" customHeight="1" x14ac:dyDescent="0.2">
      <c r="B9" s="10" t="s">
        <v>64</v>
      </c>
      <c r="C9" s="11">
        <f>SUM(C6:C8)</f>
        <v>15</v>
      </c>
      <c r="D9" s="12">
        <f>SUM(D6:D8)</f>
        <v>1</v>
      </c>
    </row>
  </sheetData>
  <mergeCells count="1">
    <mergeCell ref="B2:E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Defense Controls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2026-07-30T11:05:16Z</dcterms:created>
  <dcterms:modified xsi:type="dcterms:W3CDTF">2026-07-30T11:05:16Z</dcterms:modified>
</cp:coreProperties>
</file>