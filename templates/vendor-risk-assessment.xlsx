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2FE9B3C-D4D9-6E41-B1B0-AAC9E63E009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ndor Assessment" sheetId="1" r:id="rId1"/>
    <sheet name="Methodology &amp; 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D14" i="2"/>
  <c r="C15" i="2"/>
  <c r="D15" i="2"/>
  <c r="C16" i="2"/>
  <c r="D16" i="2"/>
  <c r="C17" i="2"/>
  <c r="D17" i="2"/>
  <c r="D18" i="2"/>
  <c r="C18" i="2"/>
</calcChain>
</file>

<file path=xl/sharedStrings.xml><?xml version="1.0" encoding="utf-8"?>
<sst xmlns="http://schemas.openxmlformats.org/spreadsheetml/2006/main" count="113" uniqueCount="62">
  <si>
    <t>Vendor</t>
  </si>
  <si>
    <t>Service</t>
  </si>
  <si>
    <t>Data Access</t>
  </si>
  <si>
    <t>Criticality</t>
  </si>
  <si>
    <t>Business Dependency</t>
  </si>
  <si>
    <t>Security Certification</t>
  </si>
  <si>
    <t>MFA</t>
  </si>
  <si>
    <t>Encryption</t>
  </si>
  <si>
    <t>Incident Notification</t>
  </si>
  <si>
    <t>BCP/DR</t>
  </si>
  <si>
    <t>Vulnerability Management</t>
  </si>
  <si>
    <t>Data Location</t>
  </si>
  <si>
    <t>Risk Score</t>
  </si>
  <si>
    <t>Risk Rating</t>
  </si>
  <si>
    <t>Treatment</t>
  </si>
  <si>
    <t>Owner</t>
  </si>
  <si>
    <t>Review Date</t>
  </si>
  <si>
    <t>DesertCloud Services</t>
  </si>
  <si>
    <t>Cloud hosting</t>
  </si>
  <si>
    <t>Confidential / Personal</t>
  </si>
  <si>
    <t>Critical</t>
  </si>
  <si>
    <t>High</t>
  </si>
  <si>
    <t>ISO 27001</t>
  </si>
  <si>
    <t>Yes</t>
  </si>
  <si>
    <t>Contractual</t>
  </si>
  <si>
    <t>UAE</t>
  </si>
  <si>
    <t>Mitigate</t>
  </si>
  <si>
    <t>Cloud Security Manager</t>
  </si>
  <si>
    <t>2027-01-31</t>
  </si>
  <si>
    <t>GulfPay HR Systems</t>
  </si>
  <si>
    <t>HR &amp; payroll SaaS</t>
  </si>
  <si>
    <t>Personal</t>
  </si>
  <si>
    <t>SOC 2</t>
  </si>
  <si>
    <t>Other</t>
  </si>
  <si>
    <t>HR Manager</t>
  </si>
  <si>
    <t>FalconShield Security</t>
  </si>
  <si>
    <t>Managed security services</t>
  </si>
  <si>
    <t>Confidential</t>
  </si>
  <si>
    <t>Medium</t>
  </si>
  <si>
    <t>CISO</t>
  </si>
  <si>
    <t>OasisWork SaaS</t>
  </si>
  <si>
    <t>Email &amp; productivity SaaS</t>
  </si>
  <si>
    <t>IT Manager</t>
  </si>
  <si>
    <t>DesertTech Hardware Supply</t>
  </si>
  <si>
    <t>IT hardware supplier</t>
  </si>
  <si>
    <t>None</t>
  </si>
  <si>
    <t>Unknown</t>
  </si>
  <si>
    <t>N/A</t>
  </si>
  <si>
    <t>Low</t>
  </si>
  <si>
    <t>Accept</t>
  </si>
  <si>
    <t>Procurement Manager</t>
  </si>
  <si>
    <t>Third-Party Risk Scoring Methodology &amp; Summary</t>
  </si>
  <si>
    <t>Risk Scoring Methodology (Portfolio Exercise)</t>
  </si>
  <si>
    <t>1. Data Access Risk: Higher score assigned based on sensitivity (None = 0, Internal = 1, Confidential = 2, Personal = 2, Confidential / Personal = 3).</t>
  </si>
  <si>
    <t>2. Criticality: Low = 1, Medium = 2, High = 3, Critical = 4.</t>
  </si>
  <si>
    <t>3. Business Dependency: Low = 1, Medium = 2, High = 3.</t>
  </si>
  <si>
    <t>4. Security Control Weakness: Evaluated based on certification absence, MFA gaps, and encryption status.</t>
  </si>
  <si>
    <t>5. Data Location Risk: UAE-hosted data = 0, Other jurisdictions = 1.</t>
  </si>
  <si>
    <t>Note: This scoring model is structured as a portfolio exercise for the DesertTech case study to demonstrate third-party risk ranking.</t>
  </si>
  <si>
    <t>Count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</si>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</sst>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F385C"/>
      <name val="Calibri"/>
    </font>
    <font>
      <b/>
      <sz val="13"/>
      <color rgb="FF1F385C"/>
      <name val="Calibri"/>
    </font>
    <font>
      <sz val="1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5C"/>
        <bgColor rgb="FF1F385C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Vendor Risk Rating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'Methodology &amp; Dashboard'!C13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'Methodology &amp; Dashboard'!$B$14:$B$17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'Methodology &amp; Dashboard'!$C$14:$C$17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4-854C-A822-0A144D150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Risk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Vendors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12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H1" workbookViewId="0">
      <pane ySplit="1" topLeftCell="H2" activePane="bottomLeft" state="frozen"/>
      <selection activeCell="H1" sqref="H1"/>
      <selection pane="bottomLeft"/>
    </sheetView>
  </sheetViews>
  <sheetFormatPr defaultRowHeight="15" x14ac:dyDescent="0.2"/>
  <cols>
    <col min="1" max="1" width="29.99609375" customWidth="1"/>
    <col min="2" max="2" width="29.0546875" customWidth="1"/>
    <col min="3" max="3" width="27.0390625" customWidth="1"/>
    <col min="4" max="4" width="16.0078125" customWidth="1"/>
    <col min="5" max="5" width="23" customWidth="1"/>
    <col min="6" max="6" width="25.9609375" customWidth="1"/>
    <col min="7" max="8" width="16.0078125" customWidth="1"/>
    <col min="9" max="9" width="25.01953125" customWidth="1"/>
    <col min="10" max="10" width="16.0078125" customWidth="1"/>
    <col min="11" max="11" width="27.98046875" customWidth="1"/>
    <col min="12" max="12" width="16.94921875" customWidth="1"/>
    <col min="13" max="15" width="16.0078125" customWidth="1"/>
    <col min="16" max="16" width="25.9609375" customWidth="1"/>
    <col min="17" max="17" width="16.0078125" customWidth="1"/>
  </cols>
  <sheetData>
    <row r="1" spans="1:17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20.100000000000001" customHeight="1" x14ac:dyDescent="0.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23</v>
      </c>
      <c r="I2" s="3" t="s">
        <v>24</v>
      </c>
      <c r="J2" s="3" t="s">
        <v>23</v>
      </c>
      <c r="K2" s="3" t="s">
        <v>23</v>
      </c>
      <c r="L2" s="3" t="s">
        <v>25</v>
      </c>
      <c r="M2" s="4">
        <v>8</v>
      </c>
      <c r="N2" s="4" t="s">
        <v>21</v>
      </c>
      <c r="O2" s="4" t="s">
        <v>26</v>
      </c>
      <c r="P2" s="3" t="s">
        <v>27</v>
      </c>
      <c r="Q2" s="3" t="s">
        <v>28</v>
      </c>
    </row>
    <row r="3" spans="1:17" ht="20.100000000000001" customHeight="1" x14ac:dyDescent="0.2">
      <c r="A3" s="5" t="s">
        <v>29</v>
      </c>
      <c r="B3" s="5" t="s">
        <v>30</v>
      </c>
      <c r="C3" s="5" t="s">
        <v>31</v>
      </c>
      <c r="D3" s="5" t="s">
        <v>21</v>
      </c>
      <c r="E3" s="5" t="s">
        <v>21</v>
      </c>
      <c r="F3" s="5" t="s">
        <v>32</v>
      </c>
      <c r="G3" s="5" t="s">
        <v>23</v>
      </c>
      <c r="H3" s="5" t="s">
        <v>23</v>
      </c>
      <c r="I3" s="5" t="s">
        <v>24</v>
      </c>
      <c r="J3" s="5" t="s">
        <v>23</v>
      </c>
      <c r="K3" s="5" t="s">
        <v>23</v>
      </c>
      <c r="L3" s="5" t="s">
        <v>33</v>
      </c>
      <c r="M3" s="6">
        <v>7</v>
      </c>
      <c r="N3" s="6" t="s">
        <v>21</v>
      </c>
      <c r="O3" s="6" t="s">
        <v>26</v>
      </c>
      <c r="P3" s="5" t="s">
        <v>34</v>
      </c>
      <c r="Q3" s="5" t="s">
        <v>28</v>
      </c>
    </row>
    <row r="4" spans="1:17" ht="20.100000000000001" customHeight="1" x14ac:dyDescent="0.2">
      <c r="A4" s="3" t="s">
        <v>35</v>
      </c>
      <c r="B4" s="3" t="s">
        <v>36</v>
      </c>
      <c r="C4" s="3" t="s">
        <v>37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23</v>
      </c>
      <c r="I4" s="3" t="s">
        <v>24</v>
      </c>
      <c r="J4" s="3" t="s">
        <v>23</v>
      </c>
      <c r="K4" s="3" t="s">
        <v>23</v>
      </c>
      <c r="L4" s="3" t="s">
        <v>25</v>
      </c>
      <c r="M4" s="4">
        <v>5</v>
      </c>
      <c r="N4" s="4" t="s">
        <v>38</v>
      </c>
      <c r="O4" s="4" t="s">
        <v>26</v>
      </c>
      <c r="P4" s="3" t="s">
        <v>39</v>
      </c>
      <c r="Q4" s="3" t="s">
        <v>28</v>
      </c>
    </row>
    <row r="5" spans="1:17" ht="20.100000000000001" customHeight="1" x14ac:dyDescent="0.2">
      <c r="A5" s="5" t="s">
        <v>40</v>
      </c>
      <c r="B5" s="5" t="s">
        <v>41</v>
      </c>
      <c r="C5" s="5" t="s">
        <v>19</v>
      </c>
      <c r="D5" s="5" t="s">
        <v>21</v>
      </c>
      <c r="E5" s="5" t="s">
        <v>21</v>
      </c>
      <c r="F5" s="5" t="s">
        <v>32</v>
      </c>
      <c r="G5" s="5" t="s">
        <v>23</v>
      </c>
      <c r="H5" s="5" t="s">
        <v>23</v>
      </c>
      <c r="I5" s="5" t="s">
        <v>24</v>
      </c>
      <c r="J5" s="5" t="s">
        <v>23</v>
      </c>
      <c r="K5" s="5" t="s">
        <v>23</v>
      </c>
      <c r="L5" s="5" t="s">
        <v>33</v>
      </c>
      <c r="M5" s="6">
        <v>6</v>
      </c>
      <c r="N5" s="6" t="s">
        <v>38</v>
      </c>
      <c r="O5" s="6" t="s">
        <v>26</v>
      </c>
      <c r="P5" s="5" t="s">
        <v>42</v>
      </c>
      <c r="Q5" s="5" t="s">
        <v>28</v>
      </c>
    </row>
    <row r="6" spans="1:17" ht="20.100000000000001" customHeight="1" x14ac:dyDescent="0.2">
      <c r="A6" s="3" t="s">
        <v>43</v>
      </c>
      <c r="B6" s="3" t="s">
        <v>44</v>
      </c>
      <c r="C6" s="3" t="s">
        <v>45</v>
      </c>
      <c r="D6" s="3" t="s">
        <v>38</v>
      </c>
      <c r="E6" s="3" t="s">
        <v>38</v>
      </c>
      <c r="F6" s="3" t="s">
        <v>45</v>
      </c>
      <c r="G6" s="3" t="s">
        <v>46</v>
      </c>
      <c r="H6" s="3" t="s">
        <v>47</v>
      </c>
      <c r="I6" s="3" t="s">
        <v>24</v>
      </c>
      <c r="J6" s="3" t="s">
        <v>23</v>
      </c>
      <c r="K6" s="3" t="s">
        <v>46</v>
      </c>
      <c r="L6" s="3" t="s">
        <v>25</v>
      </c>
      <c r="M6" s="4">
        <v>3</v>
      </c>
      <c r="N6" s="4" t="s">
        <v>48</v>
      </c>
      <c r="O6" s="4" t="s">
        <v>49</v>
      </c>
      <c r="P6" s="3" t="s">
        <v>50</v>
      </c>
      <c r="Q6" s="3" t="s">
        <v>28</v>
      </c>
    </row>
  </sheetData>
  <dataValidations count="2">
    <dataValidation type="list" allowBlank="1" sqref="N2:N6" xr:uid="{00000000-0002-0000-0000-000000000000}">
      <formula1>"Low,Medium,High,Critical"</formula1>
    </dataValidation>
    <dataValidation type="list" allowBlank="1" sqref="O2:O6" xr:uid="{00000000-0002-0000-0000-000001000000}">
      <formula1>"Accept,Mitigate,Transfer,Avoid"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8"/>
  <sheetViews>
    <sheetView workbookViewId="0"/>
  </sheetViews>
  <sheetFormatPr defaultRowHeight="15" x14ac:dyDescent="0.2"/>
  <cols>
    <col min="1" max="1" width="18.0234375" customWidth="1"/>
    <col min="2" max="2" width="154.02734375" customWidth="1"/>
    <col min="3" max="3" width="48.0234375" customWidth="1"/>
    <col min="4" max="4" width="46.00390625" customWidth="1"/>
    <col min="5" max="6" width="18.0234375" customWidth="1"/>
  </cols>
  <sheetData>
    <row r="2" spans="2:6" ht="30" customHeight="1" x14ac:dyDescent="0.2">
      <c r="B2" s="15" t="s">
        <v>51</v>
      </c>
      <c r="C2" s="16"/>
      <c r="D2" s="16"/>
      <c r="E2" s="16"/>
      <c r="F2" s="16"/>
    </row>
    <row r="4" spans="2:6" ht="18" x14ac:dyDescent="0.25">
      <c r="B4" s="7" t="s">
        <v>52</v>
      </c>
    </row>
    <row r="5" spans="2:6" x14ac:dyDescent="0.2">
      <c r="B5" s="8" t="s">
        <v>53</v>
      </c>
    </row>
    <row r="6" spans="2:6" x14ac:dyDescent="0.2">
      <c r="B6" s="8" t="s">
        <v>54</v>
      </c>
    </row>
    <row r="7" spans="2:6" x14ac:dyDescent="0.2">
      <c r="B7" s="8" t="s">
        <v>55</v>
      </c>
    </row>
    <row r="8" spans="2:6" x14ac:dyDescent="0.2">
      <c r="B8" s="8" t="s">
        <v>56</v>
      </c>
    </row>
    <row r="9" spans="2:6" x14ac:dyDescent="0.2">
      <c r="B9" s="8" t="s">
        <v>57</v>
      </c>
    </row>
    <row r="10" spans="2:6" x14ac:dyDescent="0.2">
      <c r="B10" s="8" t="s">
        <v>58</v>
      </c>
    </row>
    <row r="13" spans="2:6" ht="24" customHeight="1" x14ac:dyDescent="0.2">
      <c r="B13" s="1" t="s">
        <v>13</v>
      </c>
      <c r="C13" s="2" t="s">
        <v>59</v>
      </c>
      <c r="D13" s="2" t="s">
        <v>60</v>
      </c>
    </row>
    <row r="14" spans="2:6" ht="20.100000000000001" customHeight="1" x14ac:dyDescent="0.2">
      <c r="B14" s="9" t="s">
        <v>48</v>
      </c>
      <c r="C14" s="10">
        <f>COUNTIF('Vendor Assessment'!$N$2:$N$6, B14)</f>
        <v>1</v>
      </c>
      <c r="D14" s="11">
        <f>C14/COUNTA('Vendor Assessment'!$N$2:$N$6)</f>
        <v>0.2</v>
      </c>
    </row>
    <row r="15" spans="2:6" ht="20.100000000000001" customHeight="1" x14ac:dyDescent="0.2">
      <c r="B15" s="9" t="s">
        <v>38</v>
      </c>
      <c r="C15" s="10">
        <f>COUNTIF('Vendor Assessment'!$N$2:$N$6, B15)</f>
        <v>2</v>
      </c>
      <c r="D15" s="11">
        <f>C15/COUNTA('Vendor Assessment'!$N$2:$N$6)</f>
        <v>0.4</v>
      </c>
    </row>
    <row r="16" spans="2:6" ht="20.100000000000001" customHeight="1" x14ac:dyDescent="0.2">
      <c r="B16" s="9" t="s">
        <v>21</v>
      </c>
      <c r="C16" s="10">
        <f>COUNTIF('Vendor Assessment'!$N$2:$N$6, B16)</f>
        <v>2</v>
      </c>
      <c r="D16" s="11">
        <f>C16/COUNTA('Vendor Assessment'!$N$2:$N$6)</f>
        <v>0.4</v>
      </c>
    </row>
    <row r="17" spans="2:4" ht="20.100000000000001" customHeight="1" x14ac:dyDescent="0.2">
      <c r="B17" s="9" t="s">
        <v>20</v>
      </c>
      <c r="C17" s="10">
        <f>COUNTIF('Vendor Assessment'!$N$2:$N$6, B17)</f>
        <v>0</v>
      </c>
      <c r="D17" s="11">
        <f>C17/COUNTA('Vendor Assessment'!$N$2:$N$6)</f>
        <v>0</v>
      </c>
    </row>
    <row r="18" spans="2:4" ht="21.95" customHeight="1" x14ac:dyDescent="0.2">
      <c r="B18" s="12" t="s">
        <v>61</v>
      </c>
      <c r="C18" s="13">
        <f>SUM(C14:C17)</f>
        <v>5</v>
      </c>
      <c r="D18" s="14">
        <f>SUM(D14:D17)</f>
        <v>1</v>
      </c>
    </row>
  </sheetData>
  <mergeCells count="1">
    <mergeCell ref="B2:F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Assessment</vt:lpstr>
      <vt:lpstr>Methodology &amp;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2026-08-01T11:09:01Z</dcterms:created>
  <dcterms:modified xsi:type="dcterms:W3CDTF">2026-08-01T11:09:01Z</dcterms:modified>
</cp:coreProperties>
</file>